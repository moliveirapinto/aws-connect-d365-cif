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Model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Assumption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$#,##0.00;($#,##0.00);&quot;-&quot;"/>
    <numFmt numFmtId="166" formatCode="#,##0.0"/>
    <numFmt numFmtId="167" formatCode="$#,##0.0000;($#,##0.0000);&quot;-&quot;"/>
    <numFmt numFmtId="168" formatCode="$#,##0;($#,##0);&quot;-&quot;"/>
    <numFmt numFmtId="169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  <color rgb="00000000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5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166" fontId="5" fillId="3" borderId="1" applyAlignment="1" pivotButton="0" quotePrefix="0" xfId="0">
      <alignment horizontal="center"/>
    </xf>
    <xf numFmtId="167" fontId="5" fillId="3" borderId="1" applyAlignment="1" pivotButton="0" quotePrefix="0" xfId="0">
      <alignment horizontal="center"/>
    </xf>
    <xf numFmtId="4" fontId="5" fillId="3" borderId="1" applyAlignment="1" pivotButton="0" quotePrefix="0" xfId="0">
      <alignment horizontal="center"/>
    </xf>
    <xf numFmtId="168" fontId="5" fillId="3" borderId="1" applyAlignment="1" pivotButton="0" quotePrefix="0" xfId="0">
      <alignment horizontal="center"/>
    </xf>
    <xf numFmtId="165" fontId="4" fillId="0" borderId="1" pivotButton="0" quotePrefix="0" xfId="0"/>
    <xf numFmtId="169" fontId="4" fillId="0" borderId="0" applyAlignment="1" pivotButton="0" quotePrefix="0" xfId="0">
      <alignment horizontal="center"/>
    </xf>
    <xf numFmtId="0" fontId="6" fillId="4" borderId="0" pivotButton="0" quotePrefix="0" xfId="0"/>
    <xf numFmtId="165" fontId="6" fillId="4" borderId="1" pivotButton="0" quotePrefix="0" xfId="0"/>
    <xf numFmtId="0" fontId="0" fillId="4" borderId="0" pivotButton="0" quotePrefix="0" xfId="0"/>
    <xf numFmtId="0" fontId="6" fillId="0" borderId="0" pivotButton="0" quotePrefix="0" xfId="0"/>
    <xf numFmtId="167" fontId="6" fillId="0" borderId="1" pivotButton="0" quotePrefix="0" xfId="0"/>
    <xf numFmtId="167" fontId="4" fillId="0" borderId="1" pivotButton="0" quotePrefix="0" xfId="0"/>
    <xf numFmtId="0" fontId="3" fillId="2" borderId="0" applyAlignment="1" pivotButton="0" quotePrefix="0" xfId="0">
      <alignment horizontal="left"/>
    </xf>
    <xf numFmtId="168" fontId="7" fillId="0" borderId="1" pivotButton="0" quotePrefix="0" xfId="0"/>
    <xf numFmtId="168" fontId="6" fillId="4" borderId="1" pivotButton="0" quotePrefix="0" xfId="0"/>
    <xf numFmtId="168" fontId="6" fillId="0" borderId="1" pivotButton="0" quotePrefix="0" xfId="0"/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4" customWidth="1" min="4" max="4"/>
    <col width="50" customWidth="1" min="5" max="5"/>
  </cols>
  <sheetData>
    <row r="2">
      <c r="B2" s="1" t="inlineStr">
        <is>
          <t>AWS Connect → Azure Speech → D365  |  Live Transcription Cost Model</t>
        </is>
      </c>
    </row>
    <row r="3">
      <c r="B3" s="2" t="inlineStr">
        <is>
          <t>Incremental cost of the transcription layer only. EXCLUDES telephony (existing cost) and D365 Copilot licensing (separate).</t>
        </is>
      </c>
    </row>
    <row r="5">
      <c r="B5" s="3" t="inlineStr">
        <is>
          <t>INPUTS  (edit the blue cells)</t>
        </is>
      </c>
      <c r="C5" s="4" t="inlineStr">
        <is>
          <t>Value</t>
        </is>
      </c>
      <c r="D5" s="4" t="inlineStr">
        <is>
          <t>Unit</t>
        </is>
      </c>
    </row>
    <row r="6">
      <c r="B6" s="5" t="inlineStr">
        <is>
          <t>Call minutes per month</t>
        </is>
      </c>
      <c r="C6" s="6" t="n">
        <v>11000</v>
      </c>
      <c r="D6" s="7" t="inlineStr">
        <is>
          <t>min</t>
        </is>
      </c>
    </row>
    <row r="7">
      <c r="B7" s="5" t="inlineStr">
        <is>
          <t>Channels transcribed (1 = caller only, 2 = both)</t>
        </is>
      </c>
      <c r="C7" s="8" t="n">
        <v>2</v>
      </c>
      <c r="D7" s="7" t="inlineStr">
        <is>
          <t>ch</t>
        </is>
      </c>
    </row>
    <row r="8">
      <c r="B8" s="5" t="inlineStr">
        <is>
          <t>Azure Speech price</t>
        </is>
      </c>
      <c r="C8" s="9" t="n">
        <v>1</v>
      </c>
      <c r="D8" s="7" t="inlineStr">
        <is>
          <t>$/audio-hr</t>
        </is>
      </c>
    </row>
    <row r="9">
      <c r="B9" s="5" t="inlineStr">
        <is>
          <t>Direct Line segments per call-minute</t>
        </is>
      </c>
      <c r="C9" s="10" t="n">
        <v>2</v>
      </c>
      <c r="D9" s="7" t="inlineStr">
        <is>
          <t>msg/min</t>
        </is>
      </c>
    </row>
    <row r="10">
      <c r="B10" s="5" t="inlineStr">
        <is>
          <t>Direct Line price</t>
        </is>
      </c>
      <c r="C10" s="9" t="n">
        <v>0.5</v>
      </c>
      <c r="D10" s="7" t="inlineStr">
        <is>
          <t>$/1000 msg</t>
        </is>
      </c>
    </row>
    <row r="11">
      <c r="B11" s="5" t="inlineStr">
        <is>
          <t>Kinesis Video Streams price</t>
        </is>
      </c>
      <c r="C11" s="11" t="n">
        <v>0.008500000000000001</v>
      </c>
      <c r="D11" s="7" t="inlineStr">
        <is>
          <t>$/GB</t>
        </is>
      </c>
    </row>
    <row r="12">
      <c r="B12" s="5" t="inlineStr">
        <is>
          <t>AWS→Azure egress price</t>
        </is>
      </c>
      <c r="C12" s="9" t="n">
        <v>0.09</v>
      </c>
      <c r="D12" s="7" t="inlineStr">
        <is>
          <t>$/GB</t>
        </is>
      </c>
    </row>
    <row r="13">
      <c r="B13" s="5" t="inlineStr">
        <is>
          <t>Audio volume per call-hour, per channel</t>
        </is>
      </c>
      <c r="C13" s="12" t="n">
        <v>0.12</v>
      </c>
      <c r="D13" s="7" t="inlineStr">
        <is>
          <t>GB</t>
        </is>
      </c>
    </row>
    <row r="14">
      <c r="B14" s="5" t="inlineStr">
        <is>
          <t>Container Apps (consumer + ingestor), fixed</t>
        </is>
      </c>
      <c r="C14" s="13" t="n">
        <v>65</v>
      </c>
      <c r="D14" s="7" t="inlineStr">
        <is>
          <t>$/month</t>
        </is>
      </c>
    </row>
    <row r="16">
      <c r="B16" s="3" t="inlineStr">
        <is>
          <t>MONTHLY COST BREAKDOWN</t>
        </is>
      </c>
      <c r="C16" s="4" t="inlineStr">
        <is>
          <t>Cost</t>
        </is>
      </c>
      <c r="D16" s="4" t="inlineStr">
        <is>
          <t>% of total</t>
        </is>
      </c>
    </row>
    <row r="17">
      <c r="B17" s="5" t="inlineStr">
        <is>
          <t>Azure Speech (real-time STT)</t>
        </is>
      </c>
      <c r="C17" s="14">
        <f>($C$6/60)*$C$7*$C$8</f>
        <v/>
      </c>
      <c r="D17" s="15">
        <f>C17/$C$22</f>
        <v/>
      </c>
      <c r="E17" s="2">
        <f> (minutes / 60) × channels × $/audio-hour</f>
        <v/>
      </c>
    </row>
    <row r="18">
      <c r="B18" s="5" t="inlineStr">
        <is>
          <t>Bot Direct Line messages</t>
        </is>
      </c>
      <c r="C18" s="14">
        <f>($C$6*$C$9/1000)*$C$10</f>
        <v/>
      </c>
      <c r="D18" s="15">
        <f>C18/$C$22</f>
        <v/>
      </c>
      <c r="E18" s="2">
        <f> (minutes × segments / 1000) × $/1000 msg</f>
        <v/>
      </c>
    </row>
    <row r="19">
      <c r="B19" s="5" t="inlineStr">
        <is>
          <t>Kinesis Video Streams (ingest + consume)</t>
        </is>
      </c>
      <c r="C19" s="14">
        <f>($C$6/60)*$C$13*$C$7*2*$C$11</f>
        <v/>
      </c>
      <c r="D19" s="15">
        <f>C19/$C$22</f>
        <v/>
      </c>
      <c r="E19" s="2">
        <f> call-hours × GB/hr/ch × channels × 2 × $/GB</f>
        <v/>
      </c>
    </row>
    <row r="20">
      <c r="B20" s="5" t="inlineStr">
        <is>
          <t>AWS→Azure egress</t>
        </is>
      </c>
      <c r="C20" s="14">
        <f>($C$6/60)*$C$13*$C$7*$C$12</f>
        <v/>
      </c>
      <c r="D20" s="15">
        <f>C20/$C$22</f>
        <v/>
      </c>
      <c r="E20" s="2">
        <f> call-hours × GB/hr/ch × channels × $/GB</f>
        <v/>
      </c>
    </row>
    <row r="21">
      <c r="B21" s="5" t="inlineStr">
        <is>
          <t>Container Apps (fixed)</t>
        </is>
      </c>
      <c r="C21" s="14">
        <f>$C$14</f>
        <v/>
      </c>
      <c r="D21" s="15">
        <f>C21/$C$22</f>
        <v/>
      </c>
      <c r="E21" s="2" t="inlineStr">
        <is>
          <t>flat, regardless of call volume</t>
        </is>
      </c>
    </row>
    <row r="22">
      <c r="B22" s="16" t="inlineStr">
        <is>
          <t>TOTAL MONTHLY COST</t>
        </is>
      </c>
      <c r="C22" s="17">
        <f>SUM(C17:C21)</f>
        <v/>
      </c>
      <c r="D22" s="18" t="n"/>
    </row>
    <row r="23">
      <c r="B23" s="19" t="inlineStr">
        <is>
          <t>Cost per call-minute (all-in)</t>
        </is>
      </c>
      <c r="C23" s="20">
        <f>C22/$C$6</f>
        <v/>
      </c>
    </row>
    <row r="24">
      <c r="B24" s="5" t="inlineStr">
        <is>
          <t>Variable cost per call-minute (excl. fixed)</t>
        </is>
      </c>
      <c r="C24" s="21">
        <f>(C22-C21)/$C$6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Monthly Cost by Volume</t>
        </is>
      </c>
    </row>
    <row r="3">
      <c r="B3" s="2" t="inlineStr">
        <is>
          <t>Uses the unit prices from the 'Cost Model' sheet. Only call minutes differ per column.</t>
        </is>
      </c>
    </row>
    <row r="5">
      <c r="B5" s="22" t="inlineStr">
        <is>
          <t>Assumption / Scenario</t>
        </is>
      </c>
      <c r="C5" s="4" t="inlineStr">
        <is>
          <t>Small (pilot)</t>
        </is>
      </c>
      <c r="D5" s="4" t="inlineStr">
        <is>
          <t>Medium</t>
        </is>
      </c>
      <c r="E5" s="4" t="inlineStr">
        <is>
          <t>Large</t>
        </is>
      </c>
    </row>
    <row r="6">
      <c r="B6" s="5" t="inlineStr">
        <is>
          <t>Call minutes / month</t>
        </is>
      </c>
      <c r="C6" s="6" t="n">
        <v>2000</v>
      </c>
      <c r="D6" s="6" t="n">
        <v>11000</v>
      </c>
      <c r="E6" s="6" t="n">
        <v>100000</v>
      </c>
    </row>
    <row r="7">
      <c r="B7" s="5" t="inlineStr">
        <is>
          <t>Azure Speech</t>
        </is>
      </c>
      <c r="C7" s="23">
        <f>(C6/60)*'Cost Model'!$C$7*'Cost Model'!$C$8</f>
        <v/>
      </c>
      <c r="D7" s="23">
        <f>(D6/60)*'Cost Model'!$C$7*'Cost Model'!$C$8</f>
        <v/>
      </c>
      <c r="E7" s="23">
        <f>(E6/60)*'Cost Model'!$C$7*'Cost Model'!$C$8</f>
        <v/>
      </c>
    </row>
    <row r="8">
      <c r="B8" s="5" t="inlineStr">
        <is>
          <t>Direct Line</t>
        </is>
      </c>
      <c r="C8" s="23">
        <f>(C6*'Cost Model'!$C$9/1000)*'Cost Model'!$C$10</f>
        <v/>
      </c>
      <c r="D8" s="23">
        <f>(D6*'Cost Model'!$C$9/1000)*'Cost Model'!$C$10</f>
        <v/>
      </c>
      <c r="E8" s="23">
        <f>(E6*'Cost Model'!$C$9/1000)*'Cost Model'!$C$10</f>
        <v/>
      </c>
    </row>
    <row r="9">
      <c r="B9" s="5" t="inlineStr">
        <is>
          <t>KVS + egress</t>
        </is>
      </c>
      <c r="C9" s="23">
        <f>(C6/60)*'Cost Model'!$C$13*'Cost Model'!$C$7*2*'Cost Model'!$C$11+(C6/60)*'Cost Model'!$C$13*'Cost Model'!$C$7*'Cost Model'!$C$12</f>
        <v/>
      </c>
      <c r="D9" s="23">
        <f>(D6/60)*'Cost Model'!$C$13*'Cost Model'!$C$7*2*'Cost Model'!$C$11+(D6/60)*'Cost Model'!$C$13*'Cost Model'!$C$7*'Cost Model'!$C$12</f>
        <v/>
      </c>
      <c r="E9" s="23">
        <f>(E6/60)*'Cost Model'!$C$13*'Cost Model'!$C$7*2*'Cost Model'!$C$11+(E6/60)*'Cost Model'!$C$13*'Cost Model'!$C$7*'Cost Model'!$C$12</f>
        <v/>
      </c>
    </row>
    <row r="10">
      <c r="B10" s="5" t="inlineStr">
        <is>
          <t>Container Apps (fixed)</t>
        </is>
      </c>
      <c r="C10" s="23">
        <f>'Cost Model'!$C$14</f>
        <v/>
      </c>
      <c r="D10" s="23">
        <f>'Cost Model'!$C$14</f>
        <v/>
      </c>
      <c r="E10" s="23">
        <f>'Cost Model'!$C$14</f>
        <v/>
      </c>
    </row>
    <row r="11">
      <c r="B11" s="19" t="inlineStr">
        <is>
          <t>TOTAL / MONTH</t>
        </is>
      </c>
      <c r="C11" s="24">
        <f>SUM(C7:C10)</f>
        <v/>
      </c>
      <c r="D11" s="24">
        <f>SUM(D7:D10)</f>
        <v/>
      </c>
      <c r="E11" s="24">
        <f>SUM(E7:E10)</f>
        <v/>
      </c>
    </row>
    <row r="12">
      <c r="B12" s="19" t="inlineStr">
        <is>
          <t>TOTAL / YEAR</t>
        </is>
      </c>
      <c r="C12" s="25">
        <f>C11*12</f>
        <v/>
      </c>
      <c r="D12" s="25">
        <f>D11*12</f>
        <v/>
      </c>
      <c r="E12" s="25">
        <f>E11*12</f>
        <v/>
      </c>
    </row>
    <row r="13">
      <c r="B13" s="5" t="inlineStr">
        <is>
          <t>Cost per call-minute</t>
        </is>
      </c>
      <c r="C13" s="21">
        <f>C11/C6</f>
        <v/>
      </c>
      <c r="D13" s="21">
        <f>D11/D6</f>
        <v/>
      </c>
      <c r="E13" s="21">
        <f>E11/E6</f>
        <v/>
      </c>
    </row>
    <row r="15">
      <c r="B15" s="2" t="inlineStr">
        <is>
          <t>Legend:</t>
        </is>
      </c>
    </row>
    <row r="16">
      <c r="B16" s="2" t="inlineStr">
        <is>
          <t>Blue = editable input   •   Green = pulled from Cost Model sheet   •   Black = 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Assumptions, Method &amp; Caveats</t>
        </is>
      </c>
    </row>
    <row r="3">
      <c r="B3" s="26" t="inlineStr"/>
    </row>
    <row r="4">
      <c r="B4" s="27" t="inlineStr">
        <is>
          <t>SCOPE — this model prices ONLY the net-new transcription pipeline that was built:</t>
        </is>
      </c>
    </row>
    <row r="5">
      <c r="B5" s="26" t="inlineStr">
        <is>
          <t xml:space="preserve">   AWS Kinesis Video Streams → Azure Container Apps (KVS consumer) → Azure AI Speech (real-time STT) → Azure Bot Direct Line → D365.</t>
        </is>
      </c>
    </row>
    <row r="6">
      <c r="B6" s="26" t="inlineStr"/>
    </row>
    <row r="7">
      <c r="B7" s="27" t="inlineStr">
        <is>
          <t>EXCLUDED on purpose:</t>
        </is>
      </c>
    </row>
    <row r="8">
      <c r="B8" s="26" t="inlineStr">
        <is>
          <t xml:space="preserve">   • Amazon Connect telephony / per-minute call charges — this is an existing cost the customer already pays.</t>
        </is>
      </c>
    </row>
    <row r="9">
      <c r="B9" s="26" t="inlineStr">
        <is>
          <t xml:space="preserve">   • D365 Copilot for Service licensing (agent assist, summaries) — a separate per-seat / capacity SKU.</t>
        </is>
      </c>
    </row>
    <row r="10">
      <c r="B10" s="26" t="inlineStr"/>
    </row>
    <row r="11">
      <c r="B11" s="27" t="inlineStr">
        <is>
          <t>KEY DRIVER:</t>
        </is>
      </c>
    </row>
    <row r="12">
      <c r="B12" s="26" t="inlineStr">
        <is>
          <t xml:space="preserve">   • Azure Speech is ~90–95% of the incremental cost. It is billed per audio-hour, PER channel.</t>
        </is>
      </c>
    </row>
    <row r="13">
      <c r="B13" s="26" t="inlineStr">
        <is>
          <t xml:space="preserve">   • Transcribing both caller and agent = 2 channels = 2× Speech. Set 'Channels' to 1 to transcribe caller only (~half the Speech cost).</t>
        </is>
      </c>
    </row>
    <row r="14">
      <c r="B14" s="26" t="inlineStr"/>
    </row>
    <row r="15">
      <c r="B15" s="27" t="inlineStr">
        <is>
          <t>UNIT-PRICE SOURCES (US, list price — confirm for your region/commitment):</t>
        </is>
      </c>
    </row>
    <row r="16">
      <c r="B16" s="26" t="inlineStr">
        <is>
          <t xml:space="preserve">   • Azure AI Speech, standard real-time speech-to-text: $1.00 / audio-hour. Commitment tiers can lower this to ~$0.60–0.80/hr at volume.</t>
        </is>
      </c>
    </row>
    <row r="17">
      <c r="B17" s="26" t="inlineStr">
        <is>
          <t xml:space="preserve">   • Azure Bot Service Direct Line (S1): $0.50 per 1,000 messages. Each transcript segment ≈ 1 message (~2/min assumed).</t>
        </is>
      </c>
    </row>
    <row r="18">
      <c r="B18" s="26" t="inlineStr">
        <is>
          <t xml:space="preserve">   • Amazon Kinesis Video Streams: ~$0.0085/GB ingested + ~$0.0085/GB consumed.</t>
        </is>
      </c>
    </row>
    <row r="19">
      <c r="B19" s="26" t="inlineStr">
        <is>
          <t xml:space="preserve">   • AWS→Azure data egress: ~$0.09/GB.</t>
        </is>
      </c>
    </row>
    <row r="20">
      <c r="B20" s="26" t="inlineStr">
        <is>
          <t xml:space="preserve">   • Azure Container Apps: ~$30–35/app/month at 0.5 vCPU / 1 GB, always-on (min 1 replica); two apps ≈ $65/mo after free grant.</t>
        </is>
      </c>
    </row>
    <row r="21">
      <c r="B21" s="26" t="inlineStr"/>
    </row>
    <row r="22">
      <c r="B22" s="27" t="inlineStr">
        <is>
          <t>AUDIO MATH:</t>
        </is>
      </c>
    </row>
    <row r="23">
      <c r="B23" s="26" t="inlineStr">
        <is>
          <t xml:space="preserve">   • 8 kHz / 16-bit / mono ≈ 0.96 MB per minute per track ≈ 0.12 GB per call-hour per channel.</t>
        </is>
      </c>
    </row>
    <row r="24">
      <c r="B24" s="26" t="inlineStr"/>
    </row>
    <row r="25">
      <c r="B25" s="28" t="inlineStr">
        <is>
          <t>All prices are list and approximate; use for planning/estimation, not billing. Verify on the Azure and AWS pricing calculators for your region.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2026-07-23T17:25:59Z</dcterms:created>
  <dcterms:modified xmlns:dcterms="http://purl.org/dc/terms/" xmlns:xsi="http://www.w3.org/2001/XMLSchema-instance" xsi:type="dcterms:W3CDTF">2026-07-23T17:25:59Z</dcterms:modified>
</cp:coreProperties>
</file>